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a2d5be0d1546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patch demo" sheetId="1" r:id="R6d50b5d10ad6496f"/>
    <x:sheet xmlns:r="http://schemas.openxmlformats.org/officeDocument/2006/relationships" name="Driver costs" sheetId="2" r:id="R066fcfb900394dd7"/>
    <x:sheet xmlns:r="http://schemas.openxmlformats.org/officeDocument/2006/relationships" name="Shared costs" sheetId="3" r:id="R4fd732eedd6d48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.00;[Red]($#,##0.00)"/>
    <x:numFmt numFmtId="201" formatCode="0.00"/>
    <x:numFmt numFmtId="202" formatCode="0.00%"/>
    <x:numFmt numFmtId="203" formatCode="0.000000"/>
  </x:numFmts>
  <x:fonts count="5">
    <x:font>
      <x:sz val="11"/>
      <x:name val="Carlito"/>
    </x:font>
    <x:font>
      <x:sz val="11"/>
      <x:color rgb="FF17323E"/>
      <x:name val="Arial"/>
    </x:font>
    <x:font>
      <x:b/>
      <x:sz val="15"/>
      <x:color rgb="FF17323E"/>
      <x:name val="Arial"/>
    </x:font>
    <x:font>
      <x:b/>
      <x:sz val="11"/>
      <x:color rgb="FFFFFFFF"/>
      <x:name val="Arial"/>
    </x:font>
    <x:font>
      <x:sz val="11"/>
      <x:color rgb="FF2356A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E4A"/>
      </x:patternFill>
    </x:fill>
    <x:fill>
      <x:patternFill patternType="solid">
        <x:fgColor rgb="FFFFF2D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200" fontId="1" fillId="0" borderId="0" xfId="0" applyNumberFormat="1" applyFont="1" applyFill="1" applyBorder="1"/>
    <x:xf numFmtId="201" fontId="4" fillId="3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72ebdb2d6f4a2d" /><Relationship Type="http://schemas.openxmlformats.org/officeDocument/2006/relationships/theme" Target="/xl/theme/theme1.xml" Id="R1cf7d698f5eb4ad6" /><Relationship Type="http://schemas.openxmlformats.org/officeDocument/2006/relationships/sharedStrings" Target="/xl/sharedStrings.xml" Id="R54912695b85a46ab" /><Relationship Type="http://schemas.openxmlformats.org/officeDocument/2006/relationships/worksheet" Target="/xl/worksheets/sheet1.xml" Id="R6d50b5d10ad6496f" /><Relationship Type="http://schemas.openxmlformats.org/officeDocument/2006/relationships/worksheet" Target="/xl/worksheets/sheet2.xml" Id="R066fcfb900394dd7" /><Relationship Type="http://schemas.openxmlformats.org/officeDocument/2006/relationships/worksheet" Target="/xl/worksheets/sheet3.xml" Id="R4fd732eedd6d48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9" hidden="0" customWidth="1"/>
    <x:col min="3" max="3" width="19" hidden="0" customWidth="1"/>
    <x:col min="4" max="4" width="37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</x:row>
    <x:row r="2" ht="23" customHeight="1">
      <x:c r="A2" s="2" t="str">
        <x:v>Dispatch Profitability: Costing Prototype</x:v>
      </x:c>
      <x:c r="B2" s="1"/>
      <x:c r="C2" s="1"/>
      <x:c r="D2" s="1"/>
      <x:c r="E2" s="1"/>
      <x:c r="F2" s="1"/>
      <x:c r="G2" s="1"/>
      <x:c r="H2" s="1"/>
    </x:row>
    <x:row r="3" ht="37" customHeight="1">
      <x:c r="A3" s="3" t="str">
        <x:v>Fictional Week 01. Matches Dispatch Cost Lab. Proposed framework; no live implementation or measured savings claimed.</x:v>
      </x:c>
      <x:c r="B3" s="3"/>
      <x:c r="C3" s="3"/>
      <x:c r="D3" s="3"/>
      <x:c r="E3" s="3"/>
      <x:c r="F3" s="3"/>
      <x:c r="G3" s="3"/>
      <x:c r="H3" s="3"/>
    </x:row>
    <x:row r="4" ht="23" customHeight="1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6" t="str">
        <x:v>Route R-001</x:v>
      </x:c>
      <x:c r="B5" s="6" t="str">
        <x:v>Value</x:v>
      </x:c>
      <x:c r="C5" s="1"/>
      <x:c r="D5" s="6" t="str">
        <x:v>Van damage reserve</x:v>
      </x:c>
      <x:c r="E5" s="6" t="str">
        <x:v>Value</x:v>
      </x:c>
      <x:c r="F5" s="1"/>
      <x:c r="G5" s="1"/>
      <x:c r="H5" s="1"/>
    </x:row>
    <x:row r="6" ht="23" customHeight="1">
      <x:c r="A6" s="1" t="str">
        <x:v>Revenue ($)</x:v>
      </x:c>
      <x:c r="B6" s="9" t="n">
        <x:v>650</x:v>
      </x:c>
      <x:c r="C6" s="1"/>
      <x:c r="D6" s="1" t="str">
        <x:v>Primary van road hours</x:v>
      </x:c>
      <x:c r="E6" s="8" t="n">
        <x:v>8</x:v>
      </x:c>
      <x:c r="F6" s="1"/>
      <x:c r="G6" s="1"/>
      <x:c r="H6" s="1"/>
    </x:row>
    <x:row r="7" ht="23" customHeight="1">
      <x:c r="A7" s="1" t="str">
        <x:v>Primary driver</x:v>
      </x:c>
      <x:c r="B7" s="1" t="str">
        <x:v>Driver A</x:v>
      </x:c>
      <x:c r="C7" s="1"/>
      <x:c r="D7" s="1" t="str">
        <x:v>Sweep van road hours</x:v>
      </x:c>
      <x:c r="E7" s="8" t="n">
        <x:v>1</x:v>
      </x:c>
      <x:c r="F7" s="1"/>
      <x:c r="G7" s="1"/>
      <x:c r="H7" s="1"/>
    </x:row>
    <x:row r="8" ht="23" customHeight="1">
      <x:c r="A8" s="1" t="str">
        <x:v>Primary paid-duty hours</x:v>
      </x:c>
      <x:c r="B8" s="8" t="n">
        <x:v>8</x:v>
      </x:c>
      <x:c r="C8" s="1"/>
      <x:c r="D8" s="1" t="str">
        <x:v>Accrual $ / van road hour</x:v>
      </x:c>
      <x:c r="E8" s="9" t="n">
        <x:v>1.5</x:v>
      </x:c>
      <x:c r="F8" s="1"/>
      <x:c r="G8" s="1"/>
      <x:c r="H8" s="1"/>
    </x:row>
    <x:row r="9" ht="23" customHeight="1">
      <x:c r="A9" s="1" t="str">
        <x:v>Primary rate ($/hour)</x:v>
      </x:c>
      <x:c r="B9" s="10" t="n">
        <x:f>'Driver costs'!F6</x:f>
        <x:v>52</x:v>
      </x:c>
      <x:c r="C9" s="1"/>
      <x:c r="D9" s="1" t="str">
        <x:v>Van road hours verified (1/0)</x:v>
      </x:c>
      <x:c r="E9" s="8" t="n">
        <x:v>1</x:v>
      </x:c>
      <x:c r="F9" s="1"/>
      <x:c r="G9" s="1"/>
      <x:c r="H9" s="1"/>
    </x:row>
    <x:row r="10" ht="23" customHeight="1">
      <x:c r="A10" s="1" t="str">
        <x:v>Primary cost ($)</x:v>
      </x:c>
      <x:c r="B10" s="10" t="n">
        <x:f>B8*B9</x:f>
        <x:v>416</x:v>
      </x:c>
      <x:c r="C10" s="1"/>
      <x:c r="D10" s="1" t="str">
        <x:v>Total van road hours</x:v>
      </x:c>
      <x:c r="E10" s="1" t="n">
        <x:f>SUM(E6:E7)</x:f>
        <x:v>9</x:v>
      </x:c>
      <x:c r="F10" s="1"/>
      <x:c r="G10" s="1"/>
      <x:c r="H10" s="1"/>
    </x:row>
    <x:row r="11" ht="23" customHeight="1">
      <x:c r="A11" s="1" t="str">
        <x:v>Sweep driver</x:v>
      </x:c>
      <x:c r="B11" s="1" t="str">
        <x:v>Driver C</x:v>
      </x:c>
      <x:c r="C11" s="1"/>
      <x:c r="D11" s="1" t="str">
        <x:v>Damage accrual ($)</x:v>
      </x:c>
      <x:c r="E11" s="10" t="n">
        <x:f>IF(AND(ISNUMBER(E6),E6&gt;=0,ISNUMBER(E7),E7&gt;=0,ISNUMBER(E8),E8&gt;=0,E9=1),E10*E8,NA())</x:f>
        <x:v>13.5</x:v>
      </x:c>
      <x:c r="F11" s="1"/>
      <x:c r="G11" s="1"/>
      <x:c r="H11" s="1"/>
    </x:row>
    <x:row r="12" ht="23" customHeight="1">
      <x:c r="A12" s="1" t="str">
        <x:v>Sweep paid-duty hours</x:v>
      </x:c>
      <x:c r="B12" s="8" t="n">
        <x:v>1</x:v>
      </x:c>
      <x:c r="C12" s="1"/>
      <x:c r="D12" s="1"/>
      <x:c r="E12" s="10"/>
      <x:c r="F12" s="1"/>
      <x:c r="G12" s="1"/>
      <x:c r="H12" s="1"/>
    </x:row>
    <x:row r="13" ht="23" customHeight="1">
      <x:c r="A13" s="1" t="str">
        <x:v>Sweep record confirmed (1/0)</x:v>
      </x:c>
      <x:c r="B13" s="8" t="n">
        <x:v>1</x:v>
      </x:c>
      <x:c r="C13" s="1"/>
      <x:c r="D13" s="1" t="str">
        <x:v>Profit after reserve ($)</x:v>
      </x:c>
      <x:c r="E13" s="10" t="n">
        <x:f>B16-E11</x:f>
        <x:v>170.5</x:v>
      </x:c>
      <x:c r="F13" s="1"/>
      <x:c r="G13" s="1"/>
      <x:c r="H13" s="1"/>
    </x:row>
    <x:row r="14" ht="23" customHeight="1">
      <x:c r="A14" s="1" t="str">
        <x:v>Sweep rate ($/hour)</x:v>
      </x:c>
      <x:c r="B14" s="10" t="n">
        <x:f>'Driver costs'!F8</x:f>
        <x:v>50</x:v>
      </x:c>
      <x:c r="C14" s="1"/>
      <x:c r="D14" s="1" t="str">
        <x:v>Margin after reserve</x:v>
      </x:c>
      <x:c r="E14" s="13" t="n">
        <x:f>IF(B6&gt;0,E13/B6,NA())</x:f>
        <x:v>0.2623076923076923</x:v>
      </x:c>
      <x:c r="F14" s="1"/>
      <x:c r="G14" s="1"/>
      <x:c r="H14" s="1"/>
    </x:row>
    <x:row r="15" ht="23" customHeight="1">
      <x:c r="A15" s="1" t="str">
        <x:v>Sweep cost ($)</x:v>
      </x:c>
      <x:c r="B15" s="10" t="n">
        <x:f>B12*B14</x:f>
        <x:v>50</x:v>
      </x:c>
      <x:c r="C15" s="1"/>
      <x:c r="D15" s="1"/>
      <x:c r="E15" s="1"/>
      <x:c r="F15" s="1"/>
      <x:c r="G15" s="1"/>
      <x:c r="H15" s="1"/>
    </x:row>
    <x:row r="16" ht="23" customHeight="1">
      <x:c r="A16" s="1" t="str">
        <x:v>Profit before damage reserve ($)</x:v>
      </x:c>
      <x:c r="B16" s="10" t="n">
        <x:f>IF(AND(ISNUMBER(B6),B6&gt;=0,ISNUMBER(B8),B8&gt;=0,B8&lt;='Driver costs'!C6,ISNUMBER(B12),B12&gt;=0,B12&lt;='Driver costs'!C8,OR(B12=0,AND(B13=1,B8=8,B12=1))),B6-B10-B15,NA())</x:f>
        <x:v>184</x:v>
      </x:c>
      <x:c r="C16" s="1"/>
      <x:c r="D16" s="1"/>
      <x:c r="E16" s="1"/>
      <x:c r="F16" s="1"/>
      <x:c r="G16" s="1"/>
      <x:c r="H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</x:row>
    <x:row r="18" ht="37" customHeight="1">
      <x:c r="A18" s="3" t="str">
        <x:v>SW-001 (fictional): C assists R-001 on Day 1, 15:00-16:00; A works 07:00-15:00. The confirmation applies only to the unchanged 8-hour / 1-hour assignments.</x:v>
      </x:c>
      <x:c r="B18" s="3"/>
      <x:c r="C18" s="3"/>
      <x:c r="D18" s="3"/>
      <x:c r="E18" s="3"/>
      <x:c r="F18" s="3"/>
      <x:c r="G18" s="3"/>
      <x:c r="H18" s="3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</x:row>
    <x:row r="20" ht="37" customHeight="1">
      <x:c r="A20" s="3" t="str">
        <x:v>Van evidence is a separate fictional assumption: A drives one van for 8 road hours and C drives a second van for 1 road hour. Verify actual van time; two people sharing one van do not create two van-hours.</x:v>
      </x:c>
      <x:c r="B20" s="3"/>
      <x:c r="C20" s="3"/>
      <x:c r="D20" s="3"/>
      <x:c r="E20" s="3"/>
      <x:c r="F20" s="3"/>
      <x:c r="G20" s="3"/>
      <x:c r="H20" s="3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</x:row>
    <x:row r="22" ht="37" customHeight="1">
      <x:c r="A22" s="3" t="str">
        <x:v>Clearing sweep confirmation blocks a verified result when assistance exists. Clearing van-hour verification blocks the reserve and after-reserve result. #N/A deliberately exposes missing prerequisites.</x:v>
      </x:c>
      <x:c r="B22" s="3"/>
      <x:c r="C22" s="3"/>
      <x:c r="D22" s="3"/>
      <x:c r="E22" s="3"/>
      <x:c r="F22" s="3"/>
      <x:c r="G22" s="3"/>
      <x:c r="H22" s="3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</x:row>
    <x:row r="25" ht="34" customHeight="1">
      <x:c r="A25" s="6" t="str">
        <x:v>Weekly reconciliation</x:v>
      </x:c>
      <x:c r="B25" s="6" t="str">
        <x:v>Difference / value</x:v>
      </x:c>
      <x:c r="C25" s="6" t="str">
        <x:v>Expected</x:v>
      </x:c>
      <x:c r="D25" s="1"/>
      <x:c r="E25" s="1"/>
      <x:c r="F25" s="1"/>
      <x:c r="G25" s="1"/>
      <x:c r="H25" s="1"/>
    </x:row>
    <x:row r="26" ht="23" customHeight="1">
      <x:c r="A26" s="1" t="str">
        <x:v>Paid-duty hours</x:v>
      </x:c>
      <x:c r="B26" s="14" t="n">
        <x:f>'Driver costs'!C10</x:f>
        <x:v>120</x:v>
      </x:c>
      <x:c r="C26" s="14" t="n">
        <x:v>120</x:v>
      </x:c>
      <x:c r="D26" s="1"/>
      <x:c r="E26" s="1"/>
      <x:c r="F26" s="1"/>
      <x:c r="G26" s="1"/>
      <x:c r="H26" s="1"/>
    </x:row>
    <x:row r="27" ht="23" customHeight="1">
      <x:c r="A27" s="1" t="str">
        <x:v>Driver-specific cost recovery</x:v>
      </x:c>
      <x:c r="B27" s="14" t="n">
        <x:f>SUM('Driver costs'!D6*'Driver costs'!C6,'Driver costs'!D7*'Driver costs'!C7,'Driver costs'!D8*'Driver costs'!C8)-'Driver costs'!B10</x:f>
        <x:v>0</x:v>
      </x:c>
      <x:c r="C27" s="14" t="n">
        <x:v>0</x:v>
      </x:c>
      <x:c r="D27" s="1"/>
      <x:c r="E27" s="1"/>
      <x:c r="F27" s="1"/>
      <x:c r="G27" s="1"/>
      <x:c r="H27" s="1"/>
    </x:row>
    <x:row r="28" ht="23" customHeight="1">
      <x:c r="A28" s="1" t="str">
        <x:v>Fleet pool recovery</x:v>
      </x:c>
      <x:c r="B28" s="14" t="n">
        <x:f>'Shared costs'!D6-'Shared costs'!B6</x:f>
        <x:v>0</x:v>
      </x:c>
      <x:c r="C28" s="14" t="n">
        <x:v>0</x:v>
      </x:c>
      <x:c r="D28" s="1"/>
      <x:c r="E28" s="1"/>
      <x:c r="F28" s="1"/>
      <x:c r="G28" s="1"/>
      <x:c r="H28" s="1"/>
    </x:row>
    <x:row r="29" ht="23" customHeight="1">
      <x:c r="A29" s="1" t="str">
        <x:v>Staff pool recovery</x:v>
      </x:c>
      <x:c r="B29" s="14" t="n">
        <x:f>'Shared costs'!D7-'Shared costs'!B7</x:f>
        <x:v>0</x:v>
      </x:c>
      <x:c r="C29" s="14" t="n">
        <x:v>0</x:v>
      </x:c>
      <x:c r="D29" s="1"/>
      <x:c r="E29" s="1"/>
      <x:c r="F29" s="1"/>
      <x:c r="G29" s="1"/>
      <x:c r="H29" s="1"/>
    </x:row>
    <x:row r="30" ht="23" customHeight="1">
      <x:c r="A30" s="1" t="str">
        <x:v>Operating pool recovery</x:v>
      </x:c>
      <x:c r="B30" s="14" t="n">
        <x:f>'Shared costs'!D8-'Shared costs'!B8</x:f>
        <x:v>0</x:v>
      </x:c>
      <x:c r="C30" s="14" t="n">
        <x:v>0</x:v>
      </x:c>
      <x:c r="D30" s="1"/>
      <x:c r="E30" s="1"/>
      <x:c r="F30" s="1"/>
      <x:c r="G30" s="1"/>
      <x:c r="H30" s="1"/>
    </x:row>
    <x:row r="31" ht="23" customHeight="1">
      <x:c r="A31" s="1" t="str">
        <x:v>Shared L&amp;I recovery</x:v>
      </x:c>
      <x:c r="B31" s="14" t="n">
        <x:f>'Shared costs'!D9-'Shared costs'!B9</x:f>
        <x:v>0</x:v>
      </x:c>
      <x:c r="C31" s="14" t="n">
        <x:v>0</x:v>
      </x:c>
      <x:c r="D31" s="1"/>
      <x:c r="E31" s="1"/>
      <x:c r="F31" s="1"/>
      <x:c r="G31" s="1"/>
      <x:c r="H31" s="1"/>
    </x:row>
    <x:row r="32" ht="23" customHeight="1">
      <x:c r="A32" s="1" t="str">
        <x:v>All weekly cost recovery</x:v>
      </x:c>
      <x:c r="B32" s="14" t="n">
        <x:f>'Driver costs'!G10-('Driver costs'!B10+'Shared costs'!B10)</x:f>
        <x:v>0</x:v>
      </x:c>
      <x:c r="C32" s="14" t="n">
        <x:v>0</x:v>
      </x:c>
      <x:c r="D32" s="1"/>
      <x:c r="E32" s="1"/>
      <x:c r="F32" s="1"/>
      <x:c r="G32" s="1"/>
      <x:c r="H32" s="1"/>
    </x:row>
    <x:row r="33" ht="23" customHeight="1">
      <x:c r="A33" s="1" t="str">
        <x:v>Route hours outside R-001</x:v>
      </x:c>
      <x:c r="B33" s="14" t="n">
        <x:f>'Driver costs'!C10-B8-B12</x:f>
        <x:v>111</x:v>
      </x:c>
      <x:c r="C33" s="14" t="n">
        <x:v>111</x:v>
      </x:c>
      <x:c r="D33" s="1"/>
      <x:c r="E33" s="1"/>
      <x:c r="F33" s="1"/>
      <x:c r="G33" s="1"/>
      <x:c r="H33" s="1"/>
    </x:row>
    <x:row r="34" ht="23" customHeight="1">
      <x:c r="A34" s="1" t="str">
        <x:v>Fleet bridge minus pool</x:v>
      </x:c>
      <x:c r="B34" s="14" t="n">
        <x:f>'Shared costs'!B29</x:f>
        <x:v>0</x:v>
      </x:c>
      <x:c r="C34" s="14" t="n">
        <x:v>0</x:v>
      </x:c>
      <x:c r="D34" s="1"/>
      <x:c r="E34" s="1"/>
      <x:c r="F34" s="1"/>
      <x:c r="G34" s="1"/>
      <x:c r="H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</x:row>
    <x:row r="36" ht="37" customHeight="1">
      <x:c r="A36" s="3" t="str">
        <x:v>Checks establish arithmetic recovery of the fictional inputs only. Payroll, ledger and expense mapping evidence, tax/PTO policies and production approval remain pending.</x:v>
      </x:c>
      <x:c r="B36" s="3"/>
      <x:c r="C36" s="3"/>
      <x:c r="D36" s="3"/>
      <x:c r="E36" s="3"/>
      <x:c r="F36" s="3"/>
      <x:c r="G36" s="3"/>
      <x:c r="H36" s="3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</x:row>
  </x:sheetData>
  <x:mergeCells>
    <x:mergeCell ref="A2:H2"/>
    <x:mergeCell ref="A3:H3"/>
    <x:mergeCell ref="A18:H18"/>
    <x:mergeCell ref="A20:H20"/>
    <x:mergeCell ref="A22:H22"/>
    <x:mergeCell ref="A36:H36"/>
  </x:mergeCells>
  <x:dataValidations count="6">
    <x:dataValidation type="decimal" operator="greaterThanOrEqual" sqref="B6">
      <x:formula1>0</x:formula1>
    </x:dataValidation>
    <x:dataValidation type="decimal" operator="greaterThanOrEqual" sqref="B8">
      <x:formula1>0</x:formula1>
    </x:dataValidation>
    <x:dataValidation type="decimal" operator="greaterThanOrEqual" sqref="B12">
      <x:formula1>0</x:formula1>
    </x:dataValidation>
    <x:dataValidation type="whole" operator="between" sqref="B13">
      <x:formula1>0</x:formula1>
      <x:formula2>1</x:formula2>
    </x:dataValidation>
    <x:dataValidation type="decimal" operator="greaterThanOrEqual" sqref="E6:E8">
      <x:formula1>0</x:formula1>
    </x:dataValidation>
    <x:dataValidation type="whole" operator="between" sqref="E9">
      <x:formula1>0</x:formula1>
      <x:formula2>1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</x:row>
    <x:row r="2" ht="23" customHeight="1">
      <x:c r="A2" s="2" t="str">
        <x:v>Individual weekly driver costs</x:v>
      </x:c>
      <x:c r="B2" s="1"/>
      <x:c r="C2" s="1"/>
      <x:c r="D2" s="1"/>
      <x:c r="E2" s="1"/>
      <x:c r="F2" s="1"/>
      <x:c r="G2" s="1"/>
      <x:c r="H2" s="1"/>
    </x:row>
    <x:row r="3" ht="37" customHeight="1">
      <x:c r="A3" s="3" t="str">
        <x:v>Fictional Week 01. Amber cells are editable. Weekly costs are assumed eligible totals; tax, PTO and benefit composition remains unverified.</x:v>
      </x:c>
      <x:c r="B3" s="3"/>
      <x:c r="C3" s="3"/>
      <x:c r="D3" s="3"/>
      <x:c r="E3" s="3"/>
      <x:c r="F3" s="3"/>
      <x:c r="G3" s="3"/>
      <x:c r="H3" s="3"/>
    </x:row>
    <x:row r="4" ht="23" customHeight="1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6" t="str">
        <x:v>Driver</x:v>
      </x:c>
      <x:c r="B5" s="6" t="str">
        <x:v>Weekly cost ($)</x:v>
      </x:c>
      <x:c r="C5" s="6" t="str">
        <x:v>Paid-duty hours</x:v>
      </x:c>
      <x:c r="D5" s="6" t="str">
        <x:v>Specific $/hour</x:v>
      </x:c>
      <x:c r="E5" s="6" t="str">
        <x:v>Shared $/hour</x:v>
      </x:c>
      <x:c r="F5" s="6" t="str">
        <x:v>Total $/hour</x:v>
      </x:c>
      <x:c r="G5" s="6" t="str">
        <x:v>Weekly recovery ($)</x:v>
      </x:c>
      <x:c r="H5" s="1"/>
    </x:row>
    <x:row r="6" ht="23" customHeight="1">
      <x:c r="A6" s="1" t="str">
        <x:v>Driver A</x:v>
      </x:c>
      <x:c r="B6" s="9" t="n">
        <x:v>1280</x:v>
      </x:c>
      <x:c r="C6" s="11" t="n">
        <x:v>40</x:v>
      </x:c>
      <x:c r="D6" s="10" t="n">
        <x:f>IF(AND(ISNUMBER(B6),B6&gt;=0,ISNUMBER(C6),C6&gt;0),B6/C6,NA())</x:f>
        <x:v>32</x:v>
      </x:c>
      <x:c r="E6" s="10" t="n">
        <x:f>'Shared costs'!C10</x:f>
        <x:v>20</x:v>
      </x:c>
      <x:c r="F6" s="10" t="n">
        <x:f>D6+E6</x:f>
        <x:v>52</x:v>
      </x:c>
      <x:c r="G6" s="10" t="n">
        <x:f>F6*C6</x:f>
        <x:v>2080</x:v>
      </x:c>
      <x:c r="H6" s="1"/>
    </x:row>
    <x:row r="7" ht="23" customHeight="1">
      <x:c r="A7" s="1" t="str">
        <x:v>Driver B</x:v>
      </x:c>
      <x:c r="B7" s="9" t="n">
        <x:v>1530</x:v>
      </x:c>
      <x:c r="C7" s="11" t="n">
        <x:v>45</x:v>
      </x:c>
      <x:c r="D7" s="10" t="n">
        <x:f>IF(AND(ISNUMBER(B7),B7&gt;=0,ISNUMBER(C7),C7&gt;0),B7/C7,NA())</x:f>
        <x:v>34</x:v>
      </x:c>
      <x:c r="E7" s="10" t="n">
        <x:f>'Shared costs'!C10</x:f>
        <x:v>20</x:v>
      </x:c>
      <x:c r="F7" s="10" t="n">
        <x:f>D7+E7</x:f>
        <x:v>54</x:v>
      </x:c>
      <x:c r="G7" s="10" t="n">
        <x:f>F7*C7</x:f>
        <x:v>2430</x:v>
      </x:c>
      <x:c r="H7" s="1"/>
    </x:row>
    <x:row r="8" ht="23" customHeight="1">
      <x:c r="A8" s="1" t="str">
        <x:v>Driver C</x:v>
      </x:c>
      <x:c r="B8" s="9" t="n">
        <x:v>1050</x:v>
      </x:c>
      <x:c r="C8" s="11" t="n">
        <x:v>35</x:v>
      </x:c>
      <x:c r="D8" s="10" t="n">
        <x:f>IF(AND(ISNUMBER(B8),B8&gt;=0,ISNUMBER(C8),C8&gt;0),B8/C8,NA())</x:f>
        <x:v>30</x:v>
      </x:c>
      <x:c r="E8" s="10" t="n">
        <x:f>'Shared costs'!C10</x:f>
        <x:v>20</x:v>
      </x:c>
      <x:c r="F8" s="10" t="n">
        <x:f>D8+E8</x:f>
        <x:v>50</x:v>
      </x:c>
      <x:c r="G8" s="10" t="n">
        <x:f>F8*C8</x:f>
        <x:v>1750</x:v>
      </x:c>
      <x:c r="H8" s="1"/>
    </x:row>
    <x:row r="9" ht="23" customHeight="1">
      <x:c r="A9" s="1"/>
      <x:c r="B9" s="10"/>
      <x:c r="C9" s="12"/>
      <x:c r="D9" s="10"/>
      <x:c r="E9" s="10"/>
      <x:c r="F9" s="10"/>
      <x:c r="G9" s="10"/>
      <x:c r="H9" s="1"/>
    </x:row>
    <x:row r="10" ht="23" customHeight="1">
      <x:c r="A10" s="1" t="str">
        <x:v>Week total</x:v>
      </x:c>
      <x:c r="B10" s="10" t="n">
        <x:f>SUM(B6:B8)</x:f>
        <x:v>3860</x:v>
      </x:c>
      <x:c r="C10" s="12" t="n">
        <x:f>SUM(C6:C8)</x:f>
        <x:v>120</x:v>
      </x:c>
      <x:c r="D10" s="10"/>
      <x:c r="E10" s="10"/>
      <x:c r="F10" s="10"/>
      <x:c r="G10" s="10" t="n">
        <x:f>SUM(G6:G8)</x:f>
        <x:v>6260</x:v>
      </x:c>
      <x:c r="H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</x:row>
    <x:row r="13" ht="37" customHeight="1">
      <x:c r="A13" s="3" t="str">
        <x:v>Paid-duty hours include eligible working time, not billed hours. PTO leave and overtime policy require confirmation; no extra percentage is added.</x:v>
      </x:c>
      <x:c r="B13" s="3"/>
      <x:c r="C13" s="3"/>
      <x:c r="D13" s="3"/>
      <x:c r="E13" s="3"/>
      <x:c r="F13" s="3"/>
      <x:c r="G13" s="3"/>
      <x:c r="H13" s="3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</x:row>
    <x:row r="15" ht="37" customHeight="1">
      <x:c r="A15" s="3" t="str">
        <x:v>Route R-001 uses only 8 hours of A and 1 hour of C. The remaining 111 paid-duty hours belong outside this single-route demonstration.</x:v>
      </x:c>
      <x:c r="B15" s="3"/>
      <x:c r="C15" s="3"/>
      <x:c r="D15" s="3"/>
      <x:c r="E15" s="3"/>
      <x:c r="F15" s="3"/>
      <x:c r="G15" s="3"/>
      <x:c r="H15" s="3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</x:row>
    <x:row r="17" ht="37" customHeight="1">
      <x:c r="A17" s="3" t="str">
        <x:v>Source: fictional inputs agreed for Dispatch Cost Lab. Weekly costs and hours match the interactive baseline, not the earlier allocation scenario.</x:v>
      </x:c>
      <x:c r="B17" s="3"/>
      <x:c r="C17" s="3"/>
      <x:c r="D17" s="3"/>
      <x:c r="E17" s="3"/>
      <x:c r="F17" s="3"/>
      <x:c r="G17" s="3"/>
      <x:c r="H17" s="3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</x:row>
  </x:sheetData>
  <x:mergeCells>
    <x:mergeCell ref="A2:H2"/>
    <x:mergeCell ref="A3:H3"/>
    <x:mergeCell ref="A13:H13"/>
    <x:mergeCell ref="A15:H15"/>
    <x:mergeCell ref="A17:H17"/>
  </x:mergeCells>
  <x:dataValidations count="2">
    <x:dataValidation type="decimal" operator="greaterThanOrEqual" sqref="B6:B8">
      <x:formula1>0</x:formula1>
    </x:dataValidation>
    <x:dataValidation type="decimal" operator="greaterThan" sqref="C6:C8">
      <x:formula1>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</x:row>
    <x:row r="2" ht="23" customHeight="1">
      <x:c r="A2" s="2" t="str">
        <x:v>Separate weekly overhead pools</x:v>
      </x:c>
      <x:c r="B2" s="1"/>
      <x:c r="C2" s="1"/>
      <x:c r="D2" s="1"/>
      <x:c r="E2" s="1"/>
      <x:c r="F2" s="1"/>
      <x:c r="G2" s="1"/>
      <x:c r="H2" s="1"/>
    </x:row>
    <x:row r="3" ht="37" customHeight="1">
      <x:c r="A3" s="3" t="str">
        <x:v>Fictional Week 01. All shared pools use the same total driver paid-duty hours. Fleet loss is already in combined bills; reclassify rather than add twice.</x:v>
      </x:c>
      <x:c r="B3" s="3"/>
      <x:c r="C3" s="3"/>
      <x:c r="D3" s="3"/>
      <x:c r="E3" s="3"/>
      <x:c r="F3" s="3"/>
      <x:c r="G3" s="3"/>
      <x:c r="H3" s="3"/>
    </x:row>
    <x:row r="4" ht="23" customHeight="1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6" t="str">
        <x:v>Pool</x:v>
      </x:c>
      <x:c r="B5" s="6" t="str">
        <x:v>Weekly cost ($)</x:v>
      </x:c>
      <x:c r="C5" s="6" t="str">
        <x:v>Cost / duty hour</x:v>
      </x:c>
      <x:c r="D5" s="6" t="str">
        <x:v>Weekly recovery ($)</x:v>
      </x:c>
      <x:c r="E5" s="1"/>
      <x:c r="F5" s="1"/>
      <x:c r="G5" s="1"/>
      <x:c r="H5" s="1"/>
    </x:row>
    <x:row r="6" ht="23" customHeight="1">
      <x:c r="A6" s="1" t="str">
        <x:v>Fleet</x:v>
      </x:c>
      <x:c r="B6" s="9" t="n">
        <x:v>1200</x:v>
      </x:c>
      <x:c r="C6" s="10" t="n">
        <x:f>IF(AND(ISNUMBER(B6),B6&gt;=0,'Driver costs'!C10&gt;0),B6/'Driver costs'!C10,NA())</x:f>
        <x:v>10</x:v>
      </x:c>
      <x:c r="D6" s="10" t="n">
        <x:f>C6*'Driver costs'!C10</x:f>
        <x:v>1200</x:v>
      </x:c>
      <x:c r="E6" s="1"/>
      <x:c r="F6" s="1"/>
      <x:c r="G6" s="1"/>
      <x:c r="H6" s="1"/>
    </x:row>
    <x:row r="7" ht="23" customHeight="1">
      <x:c r="A7" s="1" t="str">
        <x:v>Staff</x:v>
      </x:c>
      <x:c r="B7" s="9" t="n">
        <x:v>720</x:v>
      </x:c>
      <x:c r="C7" s="10" t="n">
        <x:f>IF(AND(ISNUMBER(B7),B7&gt;=0,'Driver costs'!C10&gt;0),B7/'Driver costs'!C10,NA())</x:f>
        <x:v>6</x:v>
      </x:c>
      <x:c r="D7" s="10" t="n">
        <x:f>C7*'Driver costs'!C10</x:f>
        <x:v>720</x:v>
      </x:c>
      <x:c r="E7" s="1"/>
      <x:c r="F7" s="1"/>
      <x:c r="G7" s="1"/>
      <x:c r="H7" s="1"/>
    </x:row>
    <x:row r="8" ht="23" customHeight="1">
      <x:c r="A8" s="1" t="str">
        <x:v>Operating</x:v>
      </x:c>
      <x:c r="B8" s="9" t="n">
        <x:v>360</x:v>
      </x:c>
      <x:c r="C8" s="10" t="n">
        <x:f>IF(AND(ISNUMBER(B8),B8&gt;=0,'Driver costs'!C10&gt;0),B8/'Driver costs'!C10,NA())</x:f>
        <x:v>3</x:v>
      </x:c>
      <x:c r="D8" s="10" t="n">
        <x:f>C8*'Driver costs'!C10</x:f>
        <x:v>360</x:v>
      </x:c>
      <x:c r="E8" s="1"/>
      <x:c r="F8" s="1"/>
      <x:c r="G8" s="1"/>
      <x:c r="H8" s="1"/>
    </x:row>
    <x:row r="9" ht="23" customHeight="1">
      <x:c r="A9" s="1" t="str">
        <x:v>Shared L&amp;I</x:v>
      </x:c>
      <x:c r="B9" s="9" t="n">
        <x:v>120</x:v>
      </x:c>
      <x:c r="C9" s="10" t="n">
        <x:f>IF(AND(ISNUMBER(B9),B9&gt;=0,'Driver costs'!C10&gt;0),B9/'Driver costs'!C10,NA())</x:f>
        <x:v>1</x:v>
      </x:c>
      <x:c r="D9" s="10" t="n">
        <x:f>C9*'Driver costs'!C10</x:f>
        <x:v>120</x:v>
      </x:c>
      <x:c r="E9" s="1"/>
      <x:c r="F9" s="1"/>
      <x:c r="G9" s="1"/>
      <x:c r="H9" s="1"/>
    </x:row>
    <x:row r="10" ht="23" customHeight="1">
      <x:c r="A10" s="1" t="str">
        <x:v>Total shared</x:v>
      </x:c>
      <x:c r="B10" s="10" t="n">
        <x:f>SUM(B6:B9)</x:f>
        <x:v>2400</x:v>
      </x:c>
      <x:c r="C10" s="10" t="n">
        <x:f>SUM(C6:C9)</x:f>
        <x:v>20</x:v>
      </x:c>
      <x:c r="D10" s="10" t="n">
        <x:f>SUM(D6:D9)</x:f>
        <x:v>2400</x:v>
      </x:c>
      <x:c r="E10" s="1"/>
      <x:c r="F10" s="1"/>
      <x:c r="G10" s="1"/>
      <x:c r="H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</x:row>
    <x:row r="13" ht="37" customHeight="1">
      <x:c r="A13" s="3" t="str">
        <x:v>Fleet loss = leases + insurance - fleet payments. Repairs, maintenance and parts are covered by the separate van damage accrual, not this fleet-loss figure.</x:v>
      </x:c>
      <x:c r="B13" s="3"/>
      <x:c r="C13" s="3"/>
      <x:c r="D13" s="3"/>
      <x:c r="E13" s="3"/>
      <x:c r="F13" s="3"/>
      <x:c r="G13" s="3"/>
      <x:c r="H13" s="3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</x:row>
    <x:row r="15" ht="37" customHeight="1">
      <x:c r="A15" s="3" t="str">
        <x:v>Taxes, PTO policy, L&amp;I classification, expense eligibility and weekly period conversion remain unverified for production use. Recruiting/training is a separate analysis.</x:v>
      </x:c>
      <x:c r="B15" s="3"/>
      <x:c r="C15" s="3"/>
      <x:c r="D15" s="3"/>
      <x:c r="E15" s="3"/>
      <x:c r="F15" s="3"/>
      <x:c r="G15" s="3"/>
      <x:c r="H15" s="3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</x:row>
    <x:row r="18" ht="34" customHeight="1">
      <x:c r="A18" s="6" t="str">
        <x:v>Illustrative fleet bridge</x:v>
      </x:c>
      <x:c r="B18" s="6" t="str">
        <x:v>Amount ($)</x:v>
      </x:c>
      <x:c r="C18" s="6" t="str"/>
      <x:c r="D18" s="1"/>
      <x:c r="E18" s="1"/>
      <x:c r="F18" s="1"/>
      <x:c r="G18" s="1"/>
      <x:c r="H18" s="1"/>
    </x:row>
    <x:row r="19" ht="23" customHeight="1">
      <x:c r="A19" s="1" t="str">
        <x:v>Leases</x:v>
      </x:c>
      <x:c r="B19" s="9" t="n">
        <x:v>900</x:v>
      </x:c>
      <x:c r="C19" s="1"/>
      <x:c r="D19" s="1"/>
      <x:c r="E19" s="1"/>
      <x:c r="F19" s="1"/>
      <x:c r="G19" s="1"/>
      <x:c r="H19" s="1"/>
    </x:row>
    <x:row r="20" ht="23" customHeight="1">
      <x:c r="A20" s="1" t="str">
        <x:v>Insurance</x:v>
      </x:c>
      <x:c r="B20" s="9" t="n">
        <x:v>500</x:v>
      </x:c>
      <x:c r="C20" s="1"/>
      <x:c r="D20" s="1"/>
      <x:c r="E20" s="1"/>
      <x:c r="F20" s="1"/>
      <x:c r="G20" s="1"/>
      <x:c r="H20" s="1"/>
    </x:row>
    <x:row r="21" ht="23" customHeight="1">
      <x:c r="A21" s="1" t="str">
        <x:v>Fleet payments</x:v>
      </x:c>
      <x:c r="B21" s="9" t="n">
        <x:v>200</x:v>
      </x:c>
      <x:c r="C21" s="1"/>
      <x:c r="D21" s="1"/>
      <x:c r="E21" s="1"/>
      <x:c r="F21" s="1"/>
      <x:c r="G21" s="1"/>
      <x:c r="H21" s="1"/>
    </x:row>
    <x:row r="22" ht="23" customHeight="1">
      <x:c r="A22" s="1" t="str">
        <x:v>Net fleet cost</x:v>
      </x:c>
      <x:c r="B22" s="10" t="n">
        <x:f>B19+B20-B21</x:f>
        <x:v>1200</x:v>
      </x:c>
      <x:c r="C22" s="1"/>
      <x:c r="D22" s="1"/>
      <x:c r="E22" s="1"/>
      <x:c r="F22" s="1"/>
      <x:c r="G22" s="1"/>
      <x:c r="H22" s="1"/>
    </x:row>
    <x:row r="23" ht="23" customHeight="1">
      <x:c r="A23" s="1" t="str">
        <x:v>Operating bills</x:v>
      </x:c>
      <x:c r="B23" s="10" t="n">
        <x:f>B8</x:f>
        <x:v>360</x:v>
      </x:c>
      <x:c r="C23" s="1"/>
      <x:c r="D23" s="1"/>
      <x:c r="E23" s="1"/>
      <x:c r="F23" s="1"/>
      <x:c r="G23" s="1"/>
      <x:c r="H23" s="1"/>
    </x:row>
    <x:row r="24" ht="23" customHeight="1">
      <x:c r="A24" s="1" t="str">
        <x:v>Combined bills incl. fleet</x:v>
      </x:c>
      <x:c r="B24" s="10" t="n">
        <x:f>B22+B23</x:f>
        <x:v>1560</x:v>
      </x:c>
      <x:c r="C24" s="1"/>
      <x:c r="D24" s="1"/>
      <x:c r="E24" s="1"/>
      <x:c r="F24" s="1"/>
      <x:c r="G24" s="1"/>
      <x:c r="H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</x:row>
    <x:row r="26" ht="37" customHeight="1">
      <x:c r="A26" s="3" t="str">
        <x:v>The bridge illustrates the $1,200 fleet pool. Pool B6 is the authoritative editable weekly input; the reconciliation below flags a mismatch if only one is edited.</x:v>
      </x:c>
      <x:c r="B26" s="3"/>
      <x:c r="C26" s="3"/>
      <x:c r="D26" s="3"/>
      <x:c r="E26" s="3"/>
      <x:c r="F26" s="3"/>
      <x:c r="G26" s="3"/>
      <x:c r="H26" s="3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</x:row>
    <x:row r="29" ht="23" customHeight="1">
      <x:c r="A29" s="1" t="str">
        <x:v>Fleet bridge minus fleet pool</x:v>
      </x:c>
      <x:c r="B29" s="1" t="n">
        <x:f>B22-B6</x:f>
        <x:v>0</x:v>
      </x:c>
      <x:c r="C29" s="1"/>
      <x:c r="D29" s="1"/>
      <x:c r="E29" s="1"/>
      <x:c r="F29" s="1"/>
      <x:c r="G29" s="1"/>
      <x:c r="H29" s="1"/>
    </x:row>
    <x:row r="30" ht="23" customHeight="1">
      <x:c r="A30" s="1" t="str">
        <x:v>Expected difference</x:v>
      </x:c>
      <x:c r="B30" s="1" t="n">
        <x:v>0</x:v>
      </x:c>
      <x:c r="C30" s="1"/>
      <x:c r="D30" s="1"/>
      <x:c r="E30" s="1"/>
      <x:c r="F30" s="1"/>
      <x:c r="G30" s="1"/>
      <x:c r="H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</x:row>
  </x:sheetData>
  <x:mergeCells>
    <x:mergeCell ref="A2:H2"/>
    <x:mergeCell ref="A3:H3"/>
    <x:mergeCell ref="A13:H13"/>
    <x:mergeCell ref="A15:H15"/>
    <x:mergeCell ref="A26:H26"/>
  </x:mergeCells>
  <x:dataValidations count="2">
    <x:dataValidation type="decimal" operator="greaterThanOrEqual" sqref="B6:B9">
      <x:formula1>0</x:formula1>
    </x:dataValidation>
    <x:dataValidation type="decimal" operator="greaterThanOrEqual" sqref="B19:B21">
      <x:formula1>0</x:formula1>
    </x:dataValidation>
  </x:dataValidations>
  <x:pageMargins left="0.7" right="0.7" top="0.75" bottom="0.75" header="0.3" footer="0.3"/>
</x:worksheet>
</file>